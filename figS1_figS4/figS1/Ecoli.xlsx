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7721/Documents/Work/Matlab/Ying_matlab/code/"/>
    </mc:Choice>
  </mc:AlternateContent>
  <xr:revisionPtr revIDLastSave="0" documentId="13_ncr:1_{CD90AC4C-ED97-4B44-8AC7-06F1E16D43F2}" xr6:coauthVersionLast="47" xr6:coauthVersionMax="47" xr10:uidLastSave="{00000000-0000-0000-0000-000000000000}"/>
  <bookViews>
    <workbookView xWindow="7740" yWindow="8280" windowWidth="17260" windowHeight="8820" xr2:uid="{0DF164A9-A5C0-4722-B93D-A9EBAA001453}"/>
  </bookViews>
  <sheets>
    <sheet name="counts" sheetId="2" r:id="rId1"/>
    <sheet name="fi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2" l="1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G6" i="2" s="1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G4" i="2" s="1"/>
  <c r="AG5" i="2" s="1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G3" i="2" s="1"/>
  <c r="AG2" i="2"/>
  <c r="AU6" i="1"/>
  <c r="AT6" i="1"/>
  <c r="AH6" i="1" l="1"/>
  <c r="AG6" i="1"/>
  <c r="T6" i="1"/>
  <c r="S6" i="1"/>
  <c r="H6" i="1"/>
  <c r="G6" i="1"/>
</calcChain>
</file>

<file path=xl/sharedStrings.xml><?xml version="1.0" encoding="utf-8"?>
<sst xmlns="http://schemas.openxmlformats.org/spreadsheetml/2006/main" count="70" uniqueCount="30">
  <si>
    <t>Ecoli</t>
    <phoneticPr fontId="1" type="noConversion"/>
  </si>
  <si>
    <t>mean</t>
    <phoneticPr fontId="1" type="noConversion"/>
  </si>
  <si>
    <t>fano</t>
    <phoneticPr fontId="1" type="noConversion"/>
  </si>
  <si>
    <t>Skewness</t>
    <phoneticPr fontId="1" type="noConversion"/>
  </si>
  <si>
    <t>Kurtosis</t>
    <phoneticPr fontId="1" type="noConversion"/>
  </si>
  <si>
    <t>telegraph</t>
    <phoneticPr fontId="1" type="noConversion"/>
  </si>
  <si>
    <t>k_on</t>
    <phoneticPr fontId="1" type="noConversion"/>
  </si>
  <si>
    <t>k_off</t>
    <phoneticPr fontId="1" type="noConversion"/>
  </si>
  <si>
    <t>k_b</t>
    <phoneticPr fontId="1" type="noConversion"/>
  </si>
  <si>
    <t>p</t>
    <phoneticPr fontId="1" type="noConversion"/>
  </si>
  <si>
    <t xml:space="preserve"> AICc</t>
    <phoneticPr fontId="1" type="noConversion"/>
  </si>
  <si>
    <t>HD</t>
    <phoneticPr fontId="1" type="noConversion"/>
  </si>
  <si>
    <t>type</t>
    <phoneticPr fontId="1" type="noConversion"/>
  </si>
  <si>
    <t>cross-talk</t>
    <phoneticPr fontId="1" type="noConversion"/>
  </si>
  <si>
    <t>k_on1</t>
    <phoneticPr fontId="1" type="noConversion"/>
  </si>
  <si>
    <t>k_on2</t>
    <phoneticPr fontId="1" type="noConversion"/>
  </si>
  <si>
    <t>q1</t>
    <phoneticPr fontId="1" type="noConversion"/>
  </si>
  <si>
    <t xml:space="preserve"> k_off</t>
    <phoneticPr fontId="1" type="noConversion"/>
  </si>
  <si>
    <t>lam1</t>
    <phoneticPr fontId="1" type="noConversion"/>
  </si>
  <si>
    <t>lam2</t>
    <phoneticPr fontId="1" type="noConversion"/>
  </si>
  <si>
    <t>lam</t>
    <phoneticPr fontId="1" type="noConversion"/>
  </si>
  <si>
    <t>kappa1</t>
    <phoneticPr fontId="1" type="noConversion"/>
  </si>
  <si>
    <t>kappa2</t>
    <phoneticPr fontId="1" type="noConversion"/>
  </si>
  <si>
    <t>q1</t>
    <phoneticPr fontId="1" type="noConversion"/>
  </si>
  <si>
    <t>bf</t>
    <phoneticPr fontId="1" type="noConversion"/>
  </si>
  <si>
    <t>bz</t>
    <phoneticPr fontId="1" type="noConversion"/>
  </si>
  <si>
    <t>threestate</t>
    <phoneticPr fontId="1" type="noConversion"/>
  </si>
  <si>
    <t>threestate-crosstalk</t>
    <phoneticPr fontId="1" type="noConversion"/>
  </si>
  <si>
    <t>mRNA数量</t>
  </si>
  <si>
    <t>概率Pm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</si>
</sst>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B917-EACF-0B41-B01E-B7C02B4CAE28}">
  <dimension ref="A1:AG6"/>
  <sheetViews>
    <sheetView tabSelected="1" workbookViewId="0">
      <selection activeCell="C10" sqref="C10"/>
    </sheetView>
  </sheetViews>
  <sheetFormatPr baseColWidth="10" defaultRowHeight="15"/>
  <sheetData>
    <row r="1" spans="1:33">
      <c r="A1" t="s">
        <v>28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3">
      <c r="A2" t="s">
        <v>29</v>
      </c>
      <c r="B2">
        <v>0.13</v>
      </c>
      <c r="C2">
        <v>3.6600000000000001E-2</v>
      </c>
      <c r="D2">
        <v>1.34E-2</v>
      </c>
      <c r="E2">
        <v>2.8299999999999999E-2</v>
      </c>
      <c r="F2">
        <v>4.1599999999999998E-2</v>
      </c>
      <c r="G2">
        <v>5.1700000000000003E-2</v>
      </c>
      <c r="H2">
        <v>0.10340000000000001</v>
      </c>
      <c r="I2">
        <v>6.5000000000000002E-2</v>
      </c>
      <c r="J2">
        <v>0.06</v>
      </c>
      <c r="K2">
        <v>7.0000000000000007E-2</v>
      </c>
      <c r="L2">
        <v>6.5000000000000002E-2</v>
      </c>
      <c r="M2">
        <v>5.3999999999999999E-2</v>
      </c>
      <c r="N2">
        <v>0.05</v>
      </c>
      <c r="O2">
        <v>0.04</v>
      </c>
      <c r="P2">
        <v>0.03</v>
      </c>
      <c r="Q2">
        <v>0.05</v>
      </c>
      <c r="R2">
        <v>0.04</v>
      </c>
      <c r="S2">
        <v>0.01</v>
      </c>
      <c r="T2">
        <v>0.02</v>
      </c>
      <c r="U2">
        <v>6.0000000000000001E-3</v>
      </c>
      <c r="V2">
        <v>4.0000000000000001E-3</v>
      </c>
      <c r="W2">
        <v>1.2E-2</v>
      </c>
      <c r="X2">
        <v>8.0000000000000002E-3</v>
      </c>
      <c r="Y2">
        <v>1E-3</v>
      </c>
      <c r="Z2">
        <v>1E-3</v>
      </c>
      <c r="AA2">
        <v>5.0000000000000001E-4</v>
      </c>
      <c r="AB2">
        <v>5.0000000000000001E-4</v>
      </c>
      <c r="AC2">
        <v>1.6999999999999999E-3</v>
      </c>
      <c r="AD2">
        <v>1.2999999999999999E-3</v>
      </c>
      <c r="AE2">
        <v>3.0000000000000001E-3</v>
      </c>
      <c r="AF2">
        <v>2E-3</v>
      </c>
      <c r="AG2">
        <f>SUM(B2:AF2)</f>
        <v>1.0000000000000002</v>
      </c>
    </row>
    <row r="3" spans="1:33">
      <c r="B3">
        <f>B2*B1</f>
        <v>0</v>
      </c>
      <c r="C3">
        <f t="shared" ref="C3:AF3" si="0">C2*C1</f>
        <v>3.6600000000000001E-2</v>
      </c>
      <c r="D3">
        <f t="shared" si="0"/>
        <v>2.6800000000000001E-2</v>
      </c>
      <c r="E3">
        <f t="shared" si="0"/>
        <v>8.4900000000000003E-2</v>
      </c>
      <c r="F3">
        <f t="shared" si="0"/>
        <v>0.16639999999999999</v>
      </c>
      <c r="G3">
        <f t="shared" si="0"/>
        <v>0.25850000000000001</v>
      </c>
      <c r="H3">
        <f t="shared" si="0"/>
        <v>0.62040000000000006</v>
      </c>
      <c r="I3">
        <f t="shared" si="0"/>
        <v>0.45500000000000002</v>
      </c>
      <c r="J3">
        <f t="shared" si="0"/>
        <v>0.48</v>
      </c>
      <c r="K3">
        <f t="shared" si="0"/>
        <v>0.63000000000000012</v>
      </c>
      <c r="L3">
        <f t="shared" si="0"/>
        <v>0.65</v>
      </c>
      <c r="M3">
        <f t="shared" si="0"/>
        <v>0.59399999999999997</v>
      </c>
      <c r="N3">
        <f t="shared" si="0"/>
        <v>0.60000000000000009</v>
      </c>
      <c r="O3">
        <f t="shared" si="0"/>
        <v>0.52</v>
      </c>
      <c r="P3">
        <f t="shared" si="0"/>
        <v>0.42</v>
      </c>
      <c r="Q3">
        <f t="shared" si="0"/>
        <v>0.75</v>
      </c>
      <c r="R3">
        <f t="shared" si="0"/>
        <v>0.64</v>
      </c>
      <c r="S3">
        <f t="shared" si="0"/>
        <v>0.17</v>
      </c>
      <c r="T3">
        <f t="shared" si="0"/>
        <v>0.36</v>
      </c>
      <c r="U3">
        <f t="shared" si="0"/>
        <v>0.114</v>
      </c>
      <c r="V3">
        <f t="shared" si="0"/>
        <v>0.08</v>
      </c>
      <c r="W3">
        <f t="shared" si="0"/>
        <v>0.252</v>
      </c>
      <c r="X3">
        <f t="shared" si="0"/>
        <v>0.17599999999999999</v>
      </c>
      <c r="Y3">
        <f t="shared" si="0"/>
        <v>2.3E-2</v>
      </c>
      <c r="Z3">
        <f t="shared" si="0"/>
        <v>2.4E-2</v>
      </c>
      <c r="AA3">
        <f t="shared" si="0"/>
        <v>1.2500000000000001E-2</v>
      </c>
      <c r="AB3">
        <f t="shared" si="0"/>
        <v>1.3000000000000001E-2</v>
      </c>
      <c r="AC3">
        <f t="shared" si="0"/>
        <v>4.5899999999999996E-2</v>
      </c>
      <c r="AD3">
        <f t="shared" si="0"/>
        <v>3.6400000000000002E-2</v>
      </c>
      <c r="AE3">
        <f t="shared" si="0"/>
        <v>8.7000000000000008E-2</v>
      </c>
      <c r="AF3">
        <f t="shared" si="0"/>
        <v>0.06</v>
      </c>
      <c r="AG3">
        <f>SUM(B3:AF3)</f>
        <v>8.3863999999999983</v>
      </c>
    </row>
    <row r="4" spans="1:33">
      <c r="B4">
        <f>B1^2*B2</f>
        <v>0</v>
      </c>
      <c r="C4">
        <f t="shared" ref="C4:AF4" si="1">C1^2*C2</f>
        <v>3.6600000000000001E-2</v>
      </c>
      <c r="D4">
        <f t="shared" si="1"/>
        <v>5.3600000000000002E-2</v>
      </c>
      <c r="E4">
        <f t="shared" si="1"/>
        <v>0.25469999999999998</v>
      </c>
      <c r="F4">
        <f t="shared" si="1"/>
        <v>0.66559999999999997</v>
      </c>
      <c r="G4">
        <f t="shared" si="1"/>
        <v>1.2925</v>
      </c>
      <c r="H4">
        <f t="shared" si="1"/>
        <v>3.7224000000000004</v>
      </c>
      <c r="I4">
        <f t="shared" si="1"/>
        <v>3.1850000000000001</v>
      </c>
      <c r="J4">
        <f t="shared" si="1"/>
        <v>3.84</v>
      </c>
      <c r="K4">
        <f t="shared" si="1"/>
        <v>5.6700000000000008</v>
      </c>
      <c r="L4">
        <f t="shared" si="1"/>
        <v>6.5</v>
      </c>
      <c r="M4">
        <f t="shared" si="1"/>
        <v>6.5339999999999998</v>
      </c>
      <c r="N4">
        <f t="shared" si="1"/>
        <v>7.2</v>
      </c>
      <c r="O4">
        <f t="shared" si="1"/>
        <v>6.76</v>
      </c>
      <c r="P4">
        <f t="shared" si="1"/>
        <v>5.88</v>
      </c>
      <c r="Q4">
        <f t="shared" si="1"/>
        <v>11.25</v>
      </c>
      <c r="R4">
        <f t="shared" si="1"/>
        <v>10.24</v>
      </c>
      <c r="S4">
        <f t="shared" si="1"/>
        <v>2.89</v>
      </c>
      <c r="T4">
        <f t="shared" si="1"/>
        <v>6.48</v>
      </c>
      <c r="U4">
        <f t="shared" si="1"/>
        <v>2.1659999999999999</v>
      </c>
      <c r="V4">
        <f t="shared" si="1"/>
        <v>1.6</v>
      </c>
      <c r="W4">
        <f t="shared" si="1"/>
        <v>5.2919999999999998</v>
      </c>
      <c r="X4">
        <f t="shared" si="1"/>
        <v>3.8719999999999999</v>
      </c>
      <c r="Y4">
        <f t="shared" si="1"/>
        <v>0.52900000000000003</v>
      </c>
      <c r="Z4">
        <f t="shared" si="1"/>
        <v>0.57600000000000007</v>
      </c>
      <c r="AA4">
        <f t="shared" si="1"/>
        <v>0.3125</v>
      </c>
      <c r="AB4">
        <f t="shared" si="1"/>
        <v>0.33800000000000002</v>
      </c>
      <c r="AC4">
        <f t="shared" si="1"/>
        <v>1.2392999999999998</v>
      </c>
      <c r="AD4">
        <f t="shared" si="1"/>
        <v>1.0191999999999999</v>
      </c>
      <c r="AE4">
        <f t="shared" si="1"/>
        <v>2.5230000000000001</v>
      </c>
      <c r="AF4">
        <f t="shared" si="1"/>
        <v>1.8</v>
      </c>
      <c r="AG4">
        <f>SUM(B4:AF4)</f>
        <v>103.72139999999997</v>
      </c>
    </row>
    <row r="5" spans="1:33">
      <c r="AG5">
        <f>AG4/AG3-AG3</f>
        <v>3.9814097872746359</v>
      </c>
    </row>
    <row r="6" spans="1:33">
      <c r="B6">
        <f>B1^3*B2</f>
        <v>0</v>
      </c>
      <c r="C6">
        <f t="shared" ref="C6:AF6" si="2">C1^3*C2</f>
        <v>3.6600000000000001E-2</v>
      </c>
      <c r="D6">
        <f t="shared" si="2"/>
        <v>0.1072</v>
      </c>
      <c r="E6">
        <f t="shared" si="2"/>
        <v>0.7641</v>
      </c>
      <c r="F6">
        <f t="shared" si="2"/>
        <v>2.6623999999999999</v>
      </c>
      <c r="G6">
        <f t="shared" si="2"/>
        <v>6.4625000000000004</v>
      </c>
      <c r="H6">
        <f t="shared" si="2"/>
        <v>22.334400000000002</v>
      </c>
      <c r="I6">
        <f t="shared" si="2"/>
        <v>22.295000000000002</v>
      </c>
      <c r="J6">
        <f t="shared" si="2"/>
        <v>30.72</v>
      </c>
      <c r="K6">
        <f t="shared" si="2"/>
        <v>51.030000000000008</v>
      </c>
      <c r="L6">
        <f t="shared" si="2"/>
        <v>65</v>
      </c>
      <c r="M6">
        <f t="shared" si="2"/>
        <v>71.873999999999995</v>
      </c>
      <c r="N6">
        <f t="shared" si="2"/>
        <v>86.4</v>
      </c>
      <c r="O6">
        <f t="shared" si="2"/>
        <v>87.88</v>
      </c>
      <c r="P6">
        <f t="shared" si="2"/>
        <v>82.32</v>
      </c>
      <c r="Q6">
        <f t="shared" si="2"/>
        <v>168.75</v>
      </c>
      <c r="R6">
        <f t="shared" si="2"/>
        <v>163.84</v>
      </c>
      <c r="S6">
        <f t="shared" si="2"/>
        <v>49.13</v>
      </c>
      <c r="T6">
        <f t="shared" si="2"/>
        <v>116.64</v>
      </c>
      <c r="U6">
        <f t="shared" si="2"/>
        <v>41.154000000000003</v>
      </c>
      <c r="V6">
        <f t="shared" si="2"/>
        <v>32</v>
      </c>
      <c r="W6">
        <f t="shared" si="2"/>
        <v>111.13200000000001</v>
      </c>
      <c r="X6">
        <f t="shared" si="2"/>
        <v>85.183999999999997</v>
      </c>
      <c r="Y6">
        <f t="shared" si="2"/>
        <v>12.167</v>
      </c>
      <c r="Z6">
        <f t="shared" si="2"/>
        <v>13.824</v>
      </c>
      <c r="AA6">
        <f t="shared" si="2"/>
        <v>7.8125</v>
      </c>
      <c r="AB6">
        <f t="shared" si="2"/>
        <v>8.7880000000000003</v>
      </c>
      <c r="AC6">
        <f t="shared" si="2"/>
        <v>33.461099999999995</v>
      </c>
      <c r="AD6">
        <f t="shared" si="2"/>
        <v>28.537599999999998</v>
      </c>
      <c r="AE6">
        <f t="shared" si="2"/>
        <v>73.167000000000002</v>
      </c>
      <c r="AF6">
        <f t="shared" si="2"/>
        <v>54</v>
      </c>
      <c r="AG6">
        <f>SUM(B6:AF6)</f>
        <v>1529.4733999999999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82C4-F263-48F9-87A8-02D53B32A32B}">
  <dimension ref="A1:BG6"/>
  <sheetViews>
    <sheetView workbookViewId="0">
      <selection activeCell="G8" sqref="G8"/>
    </sheetView>
  </sheetViews>
  <sheetFormatPr baseColWidth="10" defaultColWidth="8.83203125" defaultRowHeight="15"/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</v>
      </c>
      <c r="M1" t="s">
        <v>2</v>
      </c>
      <c r="N1" t="s">
        <v>3</v>
      </c>
      <c r="O1" t="s">
        <v>4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8</v>
      </c>
      <c r="X1" t="s">
        <v>9</v>
      </c>
      <c r="Y1" t="s">
        <v>10</v>
      </c>
      <c r="Z1" t="s">
        <v>1</v>
      </c>
      <c r="AA1" t="s">
        <v>2</v>
      </c>
      <c r="AB1" t="s">
        <v>3</v>
      </c>
      <c r="AC1" t="s">
        <v>4</v>
      </c>
      <c r="AD1" t="s">
        <v>11</v>
      </c>
      <c r="AE1" t="s">
        <v>12</v>
      </c>
      <c r="AF1" t="s">
        <v>26</v>
      </c>
      <c r="AG1" t="s">
        <v>18</v>
      </c>
      <c r="AH1" t="s">
        <v>19</v>
      </c>
      <c r="AI1" t="s">
        <v>17</v>
      </c>
      <c r="AJ1" t="s">
        <v>8</v>
      </c>
      <c r="AK1" t="s">
        <v>9</v>
      </c>
      <c r="AL1" t="s">
        <v>10</v>
      </c>
      <c r="AM1" t="s">
        <v>1</v>
      </c>
      <c r="AN1" t="s">
        <v>2</v>
      </c>
      <c r="AO1" t="s">
        <v>3</v>
      </c>
      <c r="AP1" t="s">
        <v>4</v>
      </c>
      <c r="AQ1" t="s">
        <v>11</v>
      </c>
      <c r="AR1" t="s">
        <v>12</v>
      </c>
      <c r="AS1" t="s">
        <v>27</v>
      </c>
      <c r="AT1" t="s">
        <v>20</v>
      </c>
      <c r="AU1" t="s">
        <v>21</v>
      </c>
      <c r="AV1" t="s">
        <v>22</v>
      </c>
      <c r="AW1" t="s">
        <v>23</v>
      </c>
      <c r="AX1" t="s">
        <v>17</v>
      </c>
      <c r="AY1" t="s">
        <v>8</v>
      </c>
      <c r="AZ1" t="s">
        <v>9</v>
      </c>
      <c r="BA1" t="s">
        <v>10</v>
      </c>
      <c r="BB1" t="s">
        <v>1</v>
      </c>
      <c r="BC1" t="s">
        <v>2</v>
      </c>
      <c r="BD1" t="s">
        <v>3</v>
      </c>
      <c r="BE1" t="s">
        <v>4</v>
      </c>
      <c r="BF1" t="s">
        <v>11</v>
      </c>
      <c r="BG1" t="s">
        <v>12</v>
      </c>
    </row>
    <row r="2" spans="1:59">
      <c r="A2" t="s">
        <v>0</v>
      </c>
      <c r="B2">
        <v>8.3863999999999983</v>
      </c>
      <c r="C2">
        <v>3.9814097872746359</v>
      </c>
      <c r="D2">
        <v>0.5161521640081731</v>
      </c>
      <c r="E2">
        <v>0.25825657665441559</v>
      </c>
      <c r="G2">
        <v>0.59394193245081162</v>
      </c>
      <c r="H2">
        <v>0.42927597678993634</v>
      </c>
      <c r="I2">
        <v>25.848772250812079</v>
      </c>
      <c r="J2">
        <v>0.54965774648146148</v>
      </c>
      <c r="K2">
        <v>617.42366386281753</v>
      </c>
      <c r="L2">
        <v>8.2467658841353426</v>
      </c>
      <c r="M2">
        <v>3.9455345960493471</v>
      </c>
      <c r="N2">
        <v>0.23838108309959269</v>
      </c>
      <c r="O2">
        <v>-0.81502606741199957</v>
      </c>
      <c r="P2">
        <v>0.16085812872641944</v>
      </c>
      <c r="Q2">
        <v>3</v>
      </c>
      <c r="S2">
        <v>0.14968802619062516</v>
      </c>
      <c r="T2">
        <v>6.6834595543598976</v>
      </c>
      <c r="U2">
        <v>6.5849875516043191E-3</v>
      </c>
      <c r="V2">
        <v>25.305454517587254</v>
      </c>
      <c r="W2">
        <v>48.851182712245063</v>
      </c>
      <c r="X2">
        <v>1</v>
      </c>
      <c r="Y2">
        <v>607.36912588234043</v>
      </c>
      <c r="Z2">
        <v>8.3053232737812461</v>
      </c>
      <c r="AA2">
        <v>3.7293501342939965</v>
      </c>
      <c r="AB2">
        <v>0.34680438850227641</v>
      </c>
      <c r="AC2">
        <v>-0.22590796011076719</v>
      </c>
      <c r="AD2">
        <v>0.10732303908008131</v>
      </c>
      <c r="AE2">
        <v>3</v>
      </c>
      <c r="AG2">
        <v>2631.9861123290289</v>
      </c>
      <c r="AH2">
        <v>0.59394393766911224</v>
      </c>
      <c r="AI2">
        <v>0.42918129139765415</v>
      </c>
      <c r="AJ2">
        <v>27.113945496282213</v>
      </c>
      <c r="AK2">
        <v>0.52400810524487729</v>
      </c>
      <c r="AL2">
        <v>619.64090910027835</v>
      </c>
      <c r="AM2">
        <v>8.2467307158605223</v>
      </c>
      <c r="AN2">
        <v>3.9455211024467758</v>
      </c>
      <c r="AO2">
        <v>0.23838398989260107</v>
      </c>
      <c r="AP2">
        <v>-0.81502202182920724</v>
      </c>
      <c r="AQ2">
        <v>0.16085785049622983</v>
      </c>
      <c r="AR2">
        <v>3</v>
      </c>
      <c r="AT2">
        <v>0.14921515386492692</v>
      </c>
      <c r="AU2">
        <v>11.464902013810146</v>
      </c>
      <c r="AV2">
        <v>11.464902013810146</v>
      </c>
      <c r="AW2">
        <v>0.99356180509870395</v>
      </c>
      <c r="AX2">
        <v>171.3007481670831</v>
      </c>
      <c r="AY2">
        <v>318.6306302167327</v>
      </c>
      <c r="AZ2">
        <v>1</v>
      </c>
      <c r="BA2">
        <v>609.13753969829509</v>
      </c>
      <c r="BB2">
        <v>8.3390742687335511</v>
      </c>
      <c r="BC2">
        <v>3.9001487642816439</v>
      </c>
      <c r="BD2">
        <v>0.42158781230753556</v>
      </c>
      <c r="BE2">
        <v>-9.9929336416102466E-2</v>
      </c>
      <c r="BF2">
        <v>0.10613287126981369</v>
      </c>
      <c r="BG2">
        <v>3</v>
      </c>
    </row>
    <row r="5" spans="1:59">
      <c r="G5" t="s">
        <v>24</v>
      </c>
      <c r="H5" t="s">
        <v>25</v>
      </c>
      <c r="S5" t="s">
        <v>24</v>
      </c>
      <c r="T5" t="s">
        <v>25</v>
      </c>
      <c r="AG5" t="s">
        <v>24</v>
      </c>
      <c r="AH5" t="s">
        <v>25</v>
      </c>
      <c r="AT5" t="s">
        <v>24</v>
      </c>
      <c r="AU5" t="s">
        <v>25</v>
      </c>
    </row>
    <row r="6" spans="1:59">
      <c r="G6">
        <f>G2</f>
        <v>0.59394193245081162</v>
      </c>
      <c r="H6">
        <f>I2/H2</f>
        <v>60.214812028628899</v>
      </c>
      <c r="S6">
        <f>1/(U2/S2+(1-U2)/T2)</f>
        <v>5.1913194721038876</v>
      </c>
      <c r="T6">
        <f>W2/V2</f>
        <v>1.9304605921341409</v>
      </c>
      <c r="AG6">
        <f>1/(1/AG2+1/AH2)</f>
        <v>0.5938099362736925</v>
      </c>
      <c r="AH6">
        <f>AJ2/AI2</f>
        <v>63.175972577891393</v>
      </c>
      <c r="AT6">
        <f>1/(2*AW2/AU2+(1-AW2)*(AT2+AU2)/(AT2*AU2))</f>
        <v>4.6076377182651402</v>
      </c>
      <c r="AU6">
        <f>AY2/AX2</f>
        <v>1.8600656075707689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counts</vt:lpstr>
      <vt:lpstr>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ying sheng</cp:lastModifiedBy>
  <dcterms:created xsi:type="dcterms:W3CDTF">2026-06-20T11:56:49Z</dcterms:created>
  <dcterms:modified xsi:type="dcterms:W3CDTF">2026-10-12T00:55:45Z</dcterms:modified>
</cp:coreProperties>
</file>